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b0e85f9b8447a9" /></Relationships>
</file>

<file path=xl/workbook.xml><?xml version="1.0" encoding="utf-8"?>
<x:workbook xmlns:x="http://schemas.openxmlformats.org/spreadsheetml/2006/main">
  <x:sheets>
    <x:sheet xmlns:r="http://schemas.openxmlformats.org/officeDocument/2006/relationships" name="blog" sheetId="1" r:id="Rac76514ab57e4e82"/>
  </x:sheets>
</x:workbook>
</file>

<file path=xl/sharedStrings.xml><?xml version="1.0" encoding="utf-8"?>
<x:sst xmlns:x="http://schemas.openxmlformats.org/spreadsheetml/2006/main">
  <x:si>
    <x:t xml:space="preserve">Team Members</x:t>
  </x:si>
  <x:si>
    <x:r>
      <x:rPr>
        <x:b/>
        <x:sz val="11"/>
        <x:color theme="1"/>
        <x:rFont val="Calibri"/>
        <x:family val="2"/>
        <x:scheme val="minor"/>
      </x:rPr>
      <x:t xml:space="preserve">Instructions:</x:t>
    </x:r>
    <x:r>
      <x:rPr>
        <x:sz val="11"/>
        <x:color theme="1"/>
        <x:rFont val="Calibri"/>
        <x:family val="2"/>
        <x:scheme val="minor"/>
      </x:rPr>
      <x:t xml:space="preserve"> Fill in only the green portions.  For the activities table, put number 1 in the square under each name if that individual participated in that activity. The number of hours for each individual will be calculated automatically. Adjust the cell size to ensure all text is visible as needed. Add more rows as necessary</x:t>
    </x:r>
  </x:si>
  <x:si>
    <x:t xml:space="preserve">First Name </x:t>
  </x:si>
  <x:si>
    <x:t xml:space="preserve">Last Name</x:t>
  </x:si>
  <x:si>
    <x:t xml:space="preserve">Nickname (max 6 characters)</x:t>
  </x:si>
  <x:si>
    <x:t xml:space="preserve">Activities Table</x:t>
  </x:si>
  <x:si>
    <x:t xml:space="preserve">Date</x:t>
  </x:si>
  <x:si>
    <x:t xml:space="preserve">Who</x:t>
  </x:si>
  <x:si>
    <x:t xml:space="preserve">Type of Activty</x:t>
  </x:si>
  <x:si>
    <x:t xml:space="preserve">Number of hourse spent</x:t>
  </x:si>
  <x:si>
    <x:t xml:space="preserve">Purpose </x:t>
  </x:si>
  <x:si>
    <x:t xml:space="preserve">Output</x:t>
  </x:si>
  <x:si>
    <x:t xml:space="preserve">Hours spent</x:t>
  </x:si>
  <x:si>
    <x:t xml:space="preserve">Joy</x:t>
  </x:si>
  <x:si>
    <x:t xml:space="preserve">Milestone 1</x:t>
  </x:si>
  <x:si>
    <x:t xml:space="preserve">Work at home</x:t>
  </x:si>
  <x:si>
    <x:t xml:space="preserve">Think of opportunities </x:t>
  </x:si>
  <x:si>
    <x:t xml:space="preserve">Input for jan 20 meeting</x:t>
  </x:si>
  <x:si>
    <x:t xml:space="preserve">meeting</x:t>
  </x:si>
  <x:si>
    <x:t xml:space="preserve">Set mission statement</x:t>
  </x:si>
  <x:si>
    <x:t xml:space="preserve">3 opportunity statements. Rank. Write mission statement</x:t>
  </x:si>
  <x:si>
    <x:t xml:space="preserve">Total hours</x:t>
  </x:si>
  <x:si>
    <x:t xml:space="preserve">Total team hours</x:t>
  </x:si>
  <x:si>
    <x:t xml:space="preserve">Milestone 2 </x:t>
  </x:si>
  <x:si>
    <x:t xml:space="preserve">work at home</x:t>
  </x:si>
  <x:si>
    <x:t xml:space="preserve">Create draft interview script</x:t>
  </x:si>
  <x:si>
    <x:t xml:space="preserve">Draft interview script</x:t>
  </x:si>
  <x:si>
    <x:t xml:space="preserve">Sprint 1</x:t>
  </x:si>
  <x:si>
    <x:t xml:space="preserve">Meet</x:t>
  </x:si>
  <x:si>
    <x:t xml:space="preserve">Plan sprint 1</x:t>
  </x:si>
  <x:si>
    <x:t xml:space="preserve">Sprint 1 goal. Sprint backlog</x:t>
  </x:si>
  <x:si>
    <x:t xml:space="preserve">Sprint 2</x:t>
  </x:si>
  <x:si>
    <x:t xml:space="preserve">Work in lab</x:t>
  </x:si>
  <x:si>
    <x:t xml:space="preserve">Integrate motion sensor into project</x:t>
  </x:si>
  <x:si>
    <x:t xml:space="preserve">Sensor data makes its way to serer and then to phone</x:t>
  </x:si>
  <x:si>
    <x:t xml:space="preserve">Total Team hours</x:t>
  </x:si>
  <x:si>
    <x:t xml:space="preserve">Sprint 3</x:t>
  </x:si>
  <x:si>
    <x:t xml:space="preserve">Prepare final demo</x:t>
  </x:si>
  <x:si>
    <x:t xml:space="preserve">List all functionality to be demoed: What order to demo it? How to best demo each function?</x:t>
  </x:si>
  <x:si>
    <x:t xml:space="preserve">Final Demo 10 minutes long</x:t>
  </x:si>
  <x:si>
    <x:t xml:space="preserve">total team hours</x:t>
  </x:si>
  <x:si>
    <x:t xml:space="preserve">Total hour over project</x:t>
  </x:si>
  <x:si>
    <x:t xml:space="preserve">Total team hours over project</x:t>
  </x:si>
</x:sst>
</file>

<file path=xl/styles.xml><?xml version="1.0" encoding="utf-8"?>
<x:styleSheet xmlns:x="http://schemas.openxmlformats.org/spreadsheetml/2006/main">
  <x:fonts count="3">
    <x:font>
      <x:sz val="11"/>
      <x:color theme="1"/>
      <x:name val="Calibri"/>
    </x:font>
    <x:font>
      <x:sz val="11"/>
      <x:color rgb="FF006100"/>
      <x:name val="Calibri"/>
    </x:font>
    <x:font>
      <x:b/>
      <x:sz val="11"/>
      <x:color theme="1"/>
      <x:name val="Calibri"/>
    </x:font>
  </x:fonts>
  <x:fills count="4">
    <x:fill>
      <x:patternFill patternType="none"/>
    </x:fill>
    <x:fill>
      <x:patternFill patternType="gray125"/>
    </x:fill>
    <x:fill>
      <x:patternFill patternType="solid">
        <x:fgColor rgb="FFC6EFCE"/>
      </x:patternFill>
    </x:fill>
    <x:fill>
      <x:patternFill patternType="solid">
        <x:fgColor theme="0" tint="-0.15"/>
      </x:patternFill>
    </x:fill>
  </x:fills>
  <x:borders count="22">
    <x:border/>
    <x:border>
      <x:left style="thin">
        <x:color auto="1"/>
      </x:left>
    </x:border>
    <x:border>
      <x:left style="thin">
        <x:color auto="1"/>
      </x:left>
      <x:right style="thin">
        <x:color auto="1"/>
      </x:right>
      <x:top style="thin">
        <x:color auto="1"/>
      </x:top>
      <x:bottom style="thin">
        <x:color auto="1"/>
      </x:bottom>
    </x:border>
    <x:border>
      <x:left style="thin">
        <x:color auto="1"/>
      </x:left>
      <x:top style="thin">
        <x:color auto="1"/>
      </x:top>
    </x:border>
    <x:border>
      <x:top style="thin">
        <x:color auto="1"/>
      </x:top>
    </x:border>
    <x:border>
      <x:right style="thin">
        <x:color auto="1"/>
      </x:right>
      <x:top style="thin">
        <x:color auto="1"/>
      </x:top>
    </x:border>
    <x:border>
      <x:left style="thin">
        <x:color auto="1"/>
      </x:left>
      <x:bottom style="thin">
        <x:color auto="1"/>
      </x:bottom>
    </x:border>
    <x:border>
      <x:bottom style="thin">
        <x:color auto="1"/>
      </x:bottom>
    </x:border>
    <x:border>
      <x:right style="thin">
        <x:color auto="1"/>
      </x:right>
      <x:bottom style="thin">
        <x:color auto="1"/>
      </x:bottom>
    </x:border>
    <x:border>
      <x:left style="thin">
        <x:color auto="1"/>
      </x:left>
      <x:right style="thick">
        <x:color auto="1"/>
      </x:right>
      <x:top style="thin">
        <x:color auto="1"/>
      </x:top>
      <x:bottom style="thick">
        <x:color auto="1"/>
      </x:bottom>
    </x:border>
    <x:border>
      <x:left style="thick">
        <x:color auto="1"/>
      </x:left>
      <x:right style="thick">
        <x:color auto="1"/>
      </x:right>
      <x:top style="thin">
        <x:color auto="1"/>
      </x:top>
      <x:bottom style="thick">
        <x:color auto="1"/>
      </x:bottom>
    </x:border>
    <x:border>
      <x:left style="thin">
        <x:color auto="1"/>
      </x:left>
      <x:right style="thick">
        <x:color auto="1"/>
      </x:right>
      <x:top style="thick">
        <x:color auto="1"/>
      </x:top>
      <x:bottom style="thin">
        <x:color auto="1"/>
      </x:bottom>
    </x:border>
    <x:border>
      <x:left style="thick">
        <x:color auto="1"/>
      </x:left>
      <x:right style="thick">
        <x:color auto="1"/>
      </x:right>
      <x:top style="thick">
        <x:color auto="1"/>
      </x:top>
      <x:bottom style="thin">
        <x:color auto="1"/>
      </x:bottom>
    </x:border>
    <x:border>
      <x:left style="thin">
        <x:color auto="1"/>
      </x:left>
      <x:right style="thick">
        <x:color auto="1"/>
      </x:right>
    </x:border>
    <x:border>
      <x:left style="thick">
        <x:color auto="1"/>
      </x:left>
      <x:right style="thick">
        <x:color auto="1"/>
      </x:right>
    </x:border>
    <x:border>
      <x:right style="thin">
        <x:color auto="1"/>
      </x:right>
    </x:border>
    <x:border>
      <x:left style="thick">
        <x:color auto="1"/>
      </x:left>
      <x:top style="thin">
        <x:color auto="1"/>
      </x:top>
      <x:bottom style="thick">
        <x:color auto="1"/>
      </x:bottom>
    </x:border>
    <x:border>
      <x:left style="thick">
        <x:color auto="1"/>
      </x:left>
    </x:border>
    <x:border>
      <x:left style="thick">
        <x:color auto="1"/>
      </x:left>
      <x:top style="thick">
        <x:color auto="1"/>
      </x:top>
      <x:bottom style="thin">
        <x:color auto="1"/>
      </x:bottom>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s>
  <x:cellStyleXfs count="2">
    <x:xf numFmtId="0" fontId="0" fillId="0" borderId="0"/>
    <x:xf numFmtId="0" fontId="1" fillId="2" borderId="0" applyNumberFormat="0" applyBorder="0" applyAlignment="0" applyProtection="0"/>
  </x:cellStyleXfs>
  <x:cellXfs count="58">
    <x:xf numFmtId="0" fontId="0" fillId="0" borderId="0" xfId="0"/>
    <x:xf numFmtId="0" fontId="0" fillId="0" borderId="1" xfId="0" applyBorder="1"/>
    <x:xf numFmtId="0" fontId="0" fillId="0" borderId="6" xfId="0" applyBorder="1"/>
    <x:xf numFmtId="0" fontId="0" fillId="0" borderId="7" xfId="0" applyBorder="1"/>
    <x:xf numFmtId="0" fontId="0" fillId="0" borderId="11" xfId="0" applyBorder="1"/>
    <x:xf numFmtId="0" fontId="0" fillId="0" borderId="12" xfId="0" applyBorder="1"/>
    <x:xf numFmtId="0" fontId="0" fillId="0" borderId="13" xfId="0" applyBorder="1" applyAlignment="1">
      <x:alignment horizontal="center"/>
    </x:xf>
    <x:xf numFmtId="0" fontId="0" fillId="0" borderId="14" xfId="0" applyBorder="1" applyAlignment="1">
      <x:alignment horizontal="center"/>
    </x:xf>
    <x:xf numFmtId="0" fontId="1" fillId="2" borderId="1" xfId="1" applyBorder="1"/>
    <x:xf numFmtId="0" fontId="1" fillId="2" borderId="0" xfId="1" applyBorder="1"/>
    <x:xf numFmtId="0" fontId="0" fillId="0" borderId="15" xfId="0" applyBorder="1"/>
    <x:xf numFmtId="0" fontId="1" fillId="2" borderId="6" xfId="1" applyBorder="1"/>
    <x:xf numFmtId="0" fontId="1" fillId="2" borderId="7" xfId="1" applyBorder="1"/>
    <x:xf numFmtId="0" fontId="0" fillId="0" borderId="17" xfId="0" applyBorder="1" applyAlignment="1">
      <x:alignment horizontal="center"/>
    </x:xf>
    <x:xf numFmtId="0" fontId="0" fillId="0" borderId="2" xfId="0" applyBorder="1" applyAlignment="1">
      <x:alignment vertical="top" wrapText="1"/>
    </x:xf>
    <x:xf numFmtId="0" fontId="0" fillId="0" borderId="4" xfId="0" applyBorder="1" applyAlignment="1">
      <x:alignment vertical="top" wrapText="1"/>
    </x:xf>
    <x:xf numFmtId="0" fontId="0" fillId="0" borderId="5" xfId="0" applyBorder="1" applyAlignment="1">
      <x:alignment vertical="top" wrapText="1"/>
    </x:xf>
    <x:xf numFmtId="0" fontId="0" fillId="0" borderId="0" xfId="0" applyAlignment="1">
      <x:alignment vertical="top" wrapText="1"/>
    </x:xf>
    <x:xf numFmtId="0" fontId="0" fillId="0" borderId="15" xfId="0" applyBorder="1" applyAlignment="1">
      <x:alignment vertical="top" wrapText="1"/>
    </x:xf>
    <x:xf numFmtId="0" fontId="0" fillId="0" borderId="4" xfId="0" applyBorder="1" applyAlignment="1">
      <x:alignment horizontal="center" vertical="center" wrapText="1"/>
    </x:xf>
    <x:xf numFmtId="0" fontId="0" fillId="0" borderId="3" xfId="0" applyBorder="1" applyAlignment="1">
      <x:alignment vertical="top" wrapText="1"/>
    </x:xf>
    <x:xf numFmtId="0" fontId="0" fillId="0" borderId="19" xfId="0" applyBorder="1" applyAlignment="1">
      <x:alignment vertical="top" wrapText="1"/>
    </x:xf>
    <x:xf numFmtId="0" fontId="0" fillId="0" borderId="20" xfId="0" applyBorder="1" applyAlignment="1">
      <x:alignment vertical="top" wrapText="1"/>
    </x:xf>
    <x:xf numFmtId="0" fontId="0" fillId="0" borderId="21" xfId="0" applyBorder="1" applyAlignment="1">
      <x:alignment vertical="top" wrapText="1"/>
    </x:xf>
    <x:xf numFmtId="15" fontId="1" fillId="2" borderId="3" xfId="1" applyNumberFormat="1" applyBorder="1" applyAlignment="1">
      <x:alignment vertical="top" wrapText="1"/>
    </x:xf>
    <x:xf numFmtId="0" fontId="1" fillId="2" borderId="4" xfId="1" applyBorder="1" applyAlignment="1">
      <x:alignment vertical="top" wrapText="1"/>
    </x:xf>
    <x:xf numFmtId="0" fontId="1" fillId="2" borderId="4" xfId="1" applyBorder="1" applyAlignment="1">
      <x:alignment horizontal="center" vertical="center" wrapText="1"/>
    </x:xf>
    <x:xf numFmtId="0" fontId="1" fillId="2" borderId="5" xfId="1" applyBorder="1" applyAlignment="1">
      <x:alignment vertical="top" wrapText="1"/>
    </x:xf>
    <x:xf numFmtId="15" fontId="1" fillId="2" borderId="1" xfId="1" applyNumberFormat="1" applyBorder="1" applyAlignment="1">
      <x:alignment vertical="top" wrapText="1"/>
    </x:xf>
    <x:xf numFmtId="0" fontId="1" fillId="2" borderId="0" xfId="1" applyBorder="1" applyAlignment="1">
      <x:alignment vertical="top" wrapText="1"/>
    </x:xf>
    <x:xf numFmtId="0" fontId="1" fillId="2" borderId="0" xfId="1" applyBorder="1" applyAlignment="1">
      <x:alignment horizontal="center" vertical="center" wrapText="1"/>
    </x:xf>
    <x:xf numFmtId="0" fontId="1" fillId="2" borderId="15" xfId="1" applyBorder="1" applyAlignment="1">
      <x:alignment vertical="top" wrapText="1"/>
    </x:xf>
    <x:xf numFmtId="0" fontId="0" fillId="0" borderId="4" xfId="0" applyBorder="1" applyAlignment="1">
      <x:alignment horizontal="center" vertical="center"/>
    </x:xf>
    <x:xf numFmtId="0" fontId="0" fillId="0" borderId="5" xfId="0" applyBorder="1" applyAlignment="1">
      <x:alignment horizontal="center" vertical="center"/>
    </x:xf>
    <x:xf numFmtId="0" fontId="0" fillId="0" borderId="5" xfId="0" applyBorder="1"/>
    <x:xf numFmtId="0" fontId="0" fillId="0" borderId="18" xfId="0" applyBorder="1" applyAlignment="1">
      <x:alignment wrapText="1"/>
    </x:xf>
    <x:xf numFmtId="0" fontId="0" fillId="0" borderId="2" xfId="0" applyBorder="1" applyAlignment="1">
      <x:alignment horizontal="center"/>
    </x:xf>
    <x:xf numFmtId="0" fontId="0" fillId="0" borderId="0" xfId="0" applyAlignment="1">
      <x:alignment horizontal="left" vertical="top" wrapText="1"/>
    </x:xf>
    <x:xf numFmtId="0" fontId="0" fillId="0" borderId="9" xfId="0" applyBorder="1" applyAlignment="1">
      <x:alignment horizontal="center"/>
    </x:xf>
    <x:xf numFmtId="0" fontId="0" fillId="0" borderId="10" xfId="0" applyBorder="1" applyAlignment="1">
      <x:alignment horizontal="center"/>
    </x:xf>
    <x:xf numFmtId="0" fontId="0" fillId="0" borderId="16" xfId="0" applyBorder="1" applyAlignment="1">
      <x:alignment horizontal="center"/>
    </x:xf>
    <x:xf numFmtId="0" fontId="0" fillId="0" borderId="2" xfId="0" applyBorder="1" applyAlignment="1">
      <x:alignment horizontal="center" vertical="top"/>
    </x:xf>
    <x:xf numFmtId="0" fontId="0" fillId="0" borderId="2" xfId="0" applyBorder="1" applyAlignment="1">
      <x:alignment horizontal="center" vertical="center"/>
    </x:xf>
    <x:xf numFmtId="0" fontId="0" fillId="0" borderId="2" xfId="0" applyBorder="1" applyAlignment="1">
      <x:alignment horizontal="center" vertical="center" wrapText="1"/>
    </x:xf>
    <x:xf numFmtId="0" fontId="0" fillId="0" borderId="1" xfId="0" applyBorder="1" applyAlignment="1">
      <x:alignment horizontal="center" vertical="center" wrapText="1"/>
    </x:xf>
    <x:xf numFmtId="0" fontId="2" fillId="3" borderId="15" xfId="0" applyFont="1" applyFill="1" applyBorder="1" applyAlignment="1">
      <x:alignment vertical="top" wrapText="1"/>
    </x:xf>
    <x:xf numFmtId="0" fontId="2" fillId="3" borderId="0" xfId="0" applyFont="1" applyFill="1"/>
    <x:xf numFmtId="0" fontId="2" fillId="3" borderId="15" xfId="0" applyFont="1" applyFill="1" applyBorder="1"/>
    <x:xf numFmtId="0" fontId="2" fillId="3" borderId="0" xfId="0" applyFont="1" applyFill="1" applyAlignment="1">
      <x:alignment vertical="top" wrapText="1"/>
    </x:xf>
    <x:xf numFmtId="0" fontId="2" fillId="0" borderId="0" xfId="0" applyFont="1"/>
    <x:xf numFmtId="0" fontId="2" fillId="3" borderId="0" xfId="0" applyFont="1" applyFill="1" applyAlignment="1">
      <x:alignment wrapText="1"/>
    </x:xf>
    <x:xf numFmtId="0" fontId="2" fillId="3" borderId="7" xfId="0" applyFont="1" applyFill="1" applyBorder="1"/>
    <x:xf numFmtId="0" fontId="2" fillId="3" borderId="8" xfId="0" applyFont="1" applyFill="1" applyBorder="1"/>
    <x:xf numFmtId="0" fontId="2" fillId="3" borderId="7" xfId="0" applyFont="1" applyFill="1" applyBorder="1" applyAlignment="1">
      <x:alignment horizontal="right" wrapText="1"/>
    </x:xf>
    <x:xf numFmtId="0" fontId="2" fillId="3" borderId="6" xfId="0" applyFont="1" applyFill="1" applyBorder="1"/>
    <x:xf numFmtId="0" fontId="2" fillId="3" borderId="1" xfId="0" applyFont="1" applyFill="1" applyBorder="1"/>
    <x:xf numFmtId="0" fontId="2" fillId="0" borderId="3" xfId="0" applyFont="1" applyBorder="1" applyAlignment="1">
      <x:alignment horizontal="center" vertical="top"/>
    </x:xf>
    <x:xf numFmtId="0" fontId="2" fillId="0" borderId="1" xfId="0" applyFont="1" applyBorder="1"/>
  </x:cellXfs>
  <x:cellStyles count="2">
    <x:cellStyle name="Good"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3ce4315a964e89" /><Relationship Type="http://schemas.openxmlformats.org/officeDocument/2006/relationships/theme" Target="/xl/theme/theme1.xml" Id="R81e4c681567040d0" /><Relationship Type="http://schemas.openxmlformats.org/officeDocument/2006/relationships/sharedStrings" Target="/xl/sharedStrings.xml" Id="Rc459601c6c2842b4" /><Relationship Type="http://schemas.openxmlformats.org/officeDocument/2006/relationships/worksheet" Target="/xl/worksheets/sheet1.xml" Id="Rac76514ab57e4e82"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399999618530273"/>
  <x:cols>
    <x:col min="1" max="1" width="11.88671875" customWidth="1"/>
    <x:col min="2" max="3" width="2.109375" customWidth="1"/>
    <x:col min="4" max="4" width="1.6640625" customWidth="1"/>
    <x:col min="5" max="7" width="2.109375" customWidth="1"/>
    <x:col min="8" max="8" width="13.5546875" customWidth="1"/>
    <x:col min="9" max="9" width="15.33203125" customWidth="1"/>
    <x:col min="10" max="10" width="21.88671875" customWidth="1"/>
    <x:col min="11" max="11" width="17.6640625" customWidth="1"/>
    <x:col min="19" max="19" width="35.6640625" customWidth="1"/>
    <x:col min="23" max="23" width="11" customWidth="1"/>
    <x:col min="24" max="24" width="10.109375" customWidth="1"/>
    <x:col min="25" max="25" width="9.88671875" customWidth="1"/>
  </x:cols>
  <x:sheetData>
    <x:row r="3" ht="16.5" customHeight="1">
      <x:c r="H3" s="38" t="s">
        <x:v>0</x:v>
      </x:c>
      <x:c r="I3" s="39"/>
      <x:c r="J3" s="40"/>
      <x:c r="K3" s="44"/>
      <x:c r="S3" s="37" t="s">
        <x:v>1</x:v>
      </x:c>
    </x:row>
    <x:row r="4" ht="15.600000381469727">
      <x:c r="H4" s="6"/>
      <x:c r="I4" s="7"/>
      <x:c r="J4" s="13"/>
      <x:c r="K4" s="44"/>
      <x:c r="S4" s="37"/>
    </x:row>
    <x:row r="5" ht="29.399999618530273">
      <x:c r="H5" s="4" t="s">
        <x:v>2</x:v>
      </x:c>
      <x:c r="I5" s="5" t="s">
        <x:v>3</x:v>
      </x:c>
      <x:c r="J5" s="35" t="s">
        <x:v>4</x:v>
      </x:c>
      <x:c r="K5" s="44"/>
      <x:c r="S5" s="37"/>
    </x:row>
    <x:row r="6">
      <x:c r="H6" s="8" t="str">
        <x:v>Colby</x:v>
      </x:c>
      <x:c r="I6" s="9" t="str">
        <x:v>Lumsden</x:v>
      </x:c>
      <x:c r="J6" s="9" t="str">
        <x:v>Colby</x:v>
      </x:c>
      <x:c r="K6" s="1"/>
      <x:c r="S6" s="37"/>
    </x:row>
    <x:row r="7">
      <x:c r="H7" s="8" t="str">
        <x:v>David</x:v>
      </x:c>
      <x:c r="I7" s="9" t="str"/>
      <x:c r="J7" s="9" t="str">
        <x:v>David</x:v>
      </x:c>
      <x:c r="K7" s="1"/>
      <x:c r="S7" s="37"/>
    </x:row>
    <x:row r="8">
      <x:c r="H8" s="8" t="str">
        <x:v>Laharl</x:v>
      </x:c>
      <x:c r="I8" s="9" t="str">
        <x:v>Wang</x:v>
      </x:c>
      <x:c r="J8" s="9" t="str">
        <x:v>Laharl</x:v>
      </x:c>
      <x:c r="K8" s="1"/>
      <x:c r="S8" s="37"/>
    </x:row>
    <x:row r="9">
      <x:c r="H9" s="8" t="str">
        <x:v>Arvin</x:v>
      </x:c>
      <x:c r="I9" s="9" t="str">
        <x:v>Gill</x:v>
      </x:c>
      <x:c r="J9" s="9" t="str">
        <x:v>Arvin</x:v>
      </x:c>
      <x:c r="K9" s="1"/>
      <x:c r="S9" s="37"/>
    </x:row>
    <x:row r="10">
      <x:c r="H10" s="8" t="str">
        <x:v>Krish</x:v>
      </x:c>
      <x:c r="I10" s="9" t="str">
        <x:v>Prashar</x:v>
      </x:c>
      <x:c r="J10" s="9" t="str">
        <x:v>Krish</x:v>
      </x:c>
      <x:c r="K10" s="1"/>
      <x:c r="S10" s="37"/>
    </x:row>
    <x:row r="11">
      <x:c r="H11" s="11" t="str"/>
      <x:c r="I11" s="12" t="str"/>
      <x:c r="J11" s="12" t="str"/>
      <x:c r="K11" s="1"/>
      <x:c r="S11" s="37"/>
    </x:row>
    <x:row r="14">
      <x:c r="A14" s="49" t="s">
        <x:v>5</x:v>
      </x:c>
    </x:row>
    <x:row r="15">
      <x:c r="A15" s="41" t="s">
        <x:v>6</x:v>
      </x:c>
      <x:c r="B15" s="36" t="s">
        <x:v>7</x:v>
      </x:c>
      <x:c r="C15" s="36"/>
      <x:c r="D15" s="36"/>
      <x:c r="E15" s="36"/>
      <x:c r="F15" s="36"/>
      <x:c r="G15" s="36"/>
      <x:c r="H15" s="42" t="s">
        <x:v>8</x:v>
      </x:c>
      <x:c r="I15" s="43" t="s">
        <x:v>9</x:v>
      </x:c>
      <x:c r="J15" s="42" t="s">
        <x:v>10</x:v>
      </x:c>
      <x:c r="K15" s="42" t="s">
        <x:v>11</x:v>
      </x:c>
      <x:c r="L15" s="36" t="s">
        <x:v>12</x:v>
      </x:c>
      <x:c r="M15" s="36"/>
      <x:c r="N15" s="36"/>
      <x:c r="O15" s="36"/>
      <x:c r="P15" s="36"/>
      <x:c r="Q15" s="36"/>
      <x:c r="R15" s="34"/>
    </x:row>
    <x:row r="16" ht="86.4000015258789">
      <x:c r="A16" s="41"/>
      <x:c r="B16" s="14" t="str">
        <x:f>$J$6</x:f>
        <x:v>Colby</x:v>
      </x:c>
      <x:c r="C16" s="14" t="str">
        <x:f>$J$7</x:f>
        <x:v>David</x:v>
      </x:c>
      <x:c r="D16" s="14" t="str">
        <x:f>$J$8</x:f>
        <x:v>Laharl</x:v>
      </x:c>
      <x:c r="E16" s="14" t="str">
        <x:f>$J$9</x:f>
        <x:v>Arvin</x:v>
      </x:c>
      <x:c r="F16" s="14" t="s">
        <x:v>13</x:v>
      </x:c>
      <x:c r="G16" s="14" t="n">
        <x:f>$J$11</x:f>
        <x:v>0</x:v>
      </x:c>
      <x:c r="H16" s="42"/>
      <x:c r="I16" s="43"/>
      <x:c r="J16" s="42"/>
      <x:c r="K16" s="42"/>
      <x:c r="L16" s="14" t="str">
        <x:f>$J$6</x:f>
        <x:v>Colby</x:v>
      </x:c>
      <x:c r="M16" s="14" t="str">
        <x:f>$J$7</x:f>
        <x:v>David</x:v>
      </x:c>
      <x:c r="N16" s="14" t="str">
        <x:f>$J$8</x:f>
        <x:v>Laharl</x:v>
      </x:c>
      <x:c r="O16" s="14" t="str">
        <x:f>$J$9</x:f>
        <x:v>Arvin</x:v>
      </x:c>
      <x:c r="P16" s="14" t="s">
        <x:v>13</x:v>
      </x:c>
      <x:c r="Q16" s="14" t="n">
        <x:f>$J$11</x:f>
        <x:v>0</x:v>
      </x:c>
      <x:c r="R16" s="10"/>
    </x:row>
    <x:row r="17">
      <x:c r="A17" s="56" t="s">
        <x:v>14</x:v>
      </x:c>
      <x:c r="B17" s="15"/>
      <x:c r="C17" s="15"/>
      <x:c r="D17" s="15"/>
      <x:c r="E17" s="15"/>
      <x:c r="F17" s="15"/>
      <x:c r="G17" s="15"/>
      <x:c r="H17" s="32"/>
      <x:c r="I17" s="19"/>
      <x:c r="J17" s="32"/>
      <x:c r="K17" s="33"/>
      <x:c r="L17" s="20"/>
      <x:c r="M17" s="15"/>
      <x:c r="N17" s="15"/>
      <x:c r="O17" s="15"/>
      <x:c r="P17" s="15"/>
      <x:c r="Q17" s="16"/>
      <x:c r="R17" s="10"/>
    </x:row>
    <x:row r="18" ht="54" customHeight="1">
      <x:c r="A18" s="24">
        <x:v>43477</x:v>
      </x:c>
      <x:c r="B18" s="25">
        <x:v>1</x:v>
      </x:c>
      <x:c r="C18" s="25">
        <x:v>1</x:v>
      </x:c>
      <x:c r="D18" s="25">
        <x:v>1</x:v>
      </x:c>
      <x:c r="E18" s="25">
        <x:v>1</x:v>
      </x:c>
      <x:c r="F18" s="25">
        <x:v>1</x:v>
      </x:c>
      <x:c r="G18" s="25">
        <x:v>1</x:v>
      </x:c>
      <x:c r="H18" s="25" t="s">
        <x:v>15</x:v>
      </x:c>
      <x:c r="I18" s="26">
        <x:v>3</x:v>
      </x:c>
      <x:c r="J18" s="25" t="s">
        <x:v>16</x:v>
      </x:c>
      <x:c r="K18" s="27" t="s">
        <x:v>17</x:v>
      </x:c>
      <x:c r="L18" s="20" t="n">
        <x:f>B18*$I18</x:f>
        <x:v>3</x:v>
      </x:c>
      <x:c r="M18" s="15" t="n">
        <x:f>C18*$I18</x:f>
        <x:v>3</x:v>
      </x:c>
      <x:c r="N18" s="15" t="n">
        <x:f>D18*$I18</x:f>
        <x:v>3</x:v>
      </x:c>
      <x:c r="O18" s="15" t="n">
        <x:f>E18*$I18</x:f>
        <x:v>3</x:v>
      </x:c>
      <x:c r="P18" s="15">
        <x:v>3</x:v>
      </x:c>
      <x:c r="Q18" s="16" t="n">
        <x:f>G18*$I18</x:f>
        <x:v>3</x:v>
      </x:c>
      <x:c r="R18" s="10"/>
    </x:row>
    <x:row r="19" ht="58.5" customHeight="1">
      <x:c r="A19" s="28">
        <x:v>43485</x:v>
      </x:c>
      <x:c r="B19" s="29">
        <x:v>1</x:v>
      </x:c>
      <x:c r="C19" s="29">
        <x:v>1</x:v>
      </x:c>
      <x:c r="D19" s="29">
        <x:v>1</x:v>
      </x:c>
      <x:c r="E19" s="29">
        <x:v>1</x:v>
      </x:c>
      <x:c r="F19" s="29">
        <x:v>1</x:v>
      </x:c>
      <x:c r="G19" s="29">
        <x:v>1</x:v>
      </x:c>
      <x:c r="H19" s="29" t="s">
        <x:v>18</x:v>
      </x:c>
      <x:c r="I19" s="30">
        <x:v>2</x:v>
      </x:c>
      <x:c r="J19" s="29" t="s">
        <x:v>19</x:v>
      </x:c>
      <x:c r="K19" s="31" t="s">
        <x:v>20</x:v>
      </x:c>
      <x:c r="L19" s="20" t="n">
        <x:f t="shared" ref="L19:L23" si="0">B19*$I19</x:f>
        <x:v>2</x:v>
      </x:c>
      <x:c r="M19" s="15" t="n">
        <x:f>C19*$I19</x:f>
        <x:v>2</x:v>
      </x:c>
      <x:c r="N19" s="15" t="n">
        <x:f>D19*$I19</x:f>
        <x:v>2</x:v>
      </x:c>
      <x:c r="O19" s="15" t="n">
        <x:f>E19*$I19</x:f>
        <x:v>2</x:v>
      </x:c>
      <x:c r="P19" s="15">
        <x:v>2</x:v>
      </x:c>
      <x:c r="Q19" s="16" t="n">
        <x:f>G19*$I19</x:f>
        <x:v>2</x:v>
      </x:c>
      <x:c r="R19" s="10"/>
    </x:row>
    <x:row r="20" ht="18" customHeight="1">
      <x:c r="A20" s="1"/>
      <x:c r="K20" s="45" t="s">
        <x:v>21</x:v>
      </x:c>
      <x:c r="L20" s="46" t="n">
        <x:f>SUM(L13:L19)</x:f>
        <x:v>5</x:v>
      </x:c>
      <x:c r="M20" s="46" t="n">
        <x:f t="shared" ref="M20" si="1">SUM(M13:M19)</x:f>
        <x:v>5</x:v>
      </x:c>
      <x:c r="N20" s="46" t="n">
        <x:f t="shared" ref="N20" si="2">SUM(N13:N19)</x:f>
        <x:v>5</x:v>
      </x:c>
      <x:c r="O20" s="46" t="n">
        <x:f t="shared" ref="O20:P20" si="3">SUM(O13:O19)</x:f>
        <x:v>5</x:v>
      </x:c>
      <x:c r="P20" s="46">
        <x:f t="shared" si="3"/>
        <x:v>5</x:v>
      </x:c>
      <x:c r="Q20" s="47" t="n">
        <x:f t="shared" ref="Q20" si="4">SUM(Q13:Q19)</x:f>
        <x:v>5</x:v>
      </x:c>
      <x:c r="R20" s="47"/>
    </x:row>
    <x:row r="21" ht="16.5" customHeight="1">
      <x:c r="A21" s="1"/>
      <x:c r="K21" s="48" t="s">
        <x:v>22</x:v>
      </x:c>
      <x:c r="L21" s="54"/>
      <x:c r="M21" s="46"/>
      <x:c r="N21" s="46"/>
      <x:c r="O21" s="46"/>
      <x:c r="P21" s="46"/>
      <x:c r="Q21" s="47"/>
      <x:c r="R21" s="47" t="n">
        <x:f>SUM(L20:Q20)</x:f>
        <x:v>30</x:v>
      </x:c>
    </x:row>
    <x:row r="22" ht="19.5" customHeight="1">
      <x:c r="A22" s="57" t="s">
        <x:v>23</x:v>
      </x:c>
      <x:c r="L22" s="20"/>
      <x:c r="M22" s="15"/>
      <x:c r="N22" s="15"/>
      <x:c r="O22" s="15"/>
      <x:c r="P22" s="15"/>
      <x:c r="Q22" s="16"/>
      <x:c r="R22" s="10"/>
    </x:row>
    <x:row r="23" ht="51" customHeight="1">
      <x:c r="A23" s="28">
        <x:v>43490</x:v>
      </x:c>
      <x:c r="B23" s="29">
        <x:v>1</x:v>
      </x:c>
      <x:c r="C23" s="29"/>
      <x:c r="D23" s="29"/>
      <x:c r="E23" s="29"/>
      <x:c r="F23" s="29"/>
      <x:c r="G23" s="29"/>
      <x:c r="H23" s="29" t="s">
        <x:v>24</x:v>
      </x:c>
      <x:c r="I23" s="30">
        <x:v>3</x:v>
      </x:c>
      <x:c r="J23" s="29" t="s">
        <x:v>25</x:v>
      </x:c>
      <x:c r="K23" s="31" t="s">
        <x:v>26</x:v>
      </x:c>
      <x:c r="L23" s="21">
        <x:f t="shared" si="0"/>
        <x:v>3</x:v>
      </x:c>
      <x:c r="M23" s="22" t="n">
        <x:f>C23*$I23</x:f>
        <x:v>0</x:v>
      </x:c>
      <x:c r="N23" s="22" t="n">
        <x:f>D23*$I23</x:f>
        <x:v>0</x:v>
      </x:c>
      <x:c r="O23" s="22" t="n">
        <x:f>E23*$I23</x:f>
        <x:v>0</x:v>
      </x:c>
      <x:c r="P23" s="22">
        <x:v>1</x:v>
      </x:c>
      <x:c r="Q23" s="23" t="n">
        <x:f>G23*$I23</x:f>
        <x:v>0</x:v>
      </x:c>
      <x:c r="R23" s="10"/>
    </x:row>
    <x:row r="24" ht="51" customHeight="1">
      <x:c r="A24" s="28"/>
      <x:c r="B24" s="29"/>
      <x:c r="C24" s="29"/>
      <x:c r="D24" s="29"/>
      <x:c r="E24" s="29"/>
      <x:c r="F24" s="29"/>
      <x:c r="G24" s="29"/>
      <x:c r="H24" s="29"/>
      <x:c r="I24" s="30"/>
      <x:c r="J24" s="29"/>
      <x:c r="K24" s="31"/>
      <x:c r="L24" s="17"/>
      <x:c r="M24" s="17"/>
      <x:c r="N24" s="17"/>
      <x:c r="O24" s="17"/>
      <x:c r="P24" s="17"/>
      <x:c r="Q24" s="18"/>
      <x:c r="R24" s="10"/>
    </x:row>
    <x:row r="25">
      <x:c r="A25" s="1"/>
      <x:c r="H25" s="17"/>
      <x:c r="K25" s="45" t="s">
        <x:v>21</x:v>
      </x:c>
      <x:c r="L25" s="46" t="n">
        <x:f>SUM(L23:L24)</x:f>
        <x:v>3</x:v>
      </x:c>
      <x:c r="M25" s="46" t="n">
        <x:f t="shared" ref="M25:Q25" si="5">SUM(M23:M24)</x:f>
        <x:v>0</x:v>
      </x:c>
      <x:c r="N25" s="46">
        <x:f t="shared" si="5"/>
        <x:v>0</x:v>
      </x:c>
      <x:c r="O25" s="46">
        <x:f t="shared" si="5"/>
        <x:v>0</x:v>
      </x:c>
      <x:c r="P25" s="46">
        <x:f t="shared" si="5"/>
        <x:v>1</x:v>
      </x:c>
      <x:c r="Q25" s="47">
        <x:f t="shared" si="5"/>
        <x:v>0</x:v>
      </x:c>
      <x:c r="R25" s="47"/>
    </x:row>
    <x:row r="26">
      <x:c r="A26" s="1"/>
      <x:c r="K26" s="48" t="s">
        <x:v>22</x:v>
      </x:c>
      <x:c r="L26" s="55"/>
      <x:c r="M26" s="46"/>
      <x:c r="N26" s="46"/>
      <x:c r="O26" s="46"/>
      <x:c r="P26" s="46"/>
      <x:c r="Q26" s="47"/>
      <x:c r="R26" s="47" t="n">
        <x:f>SUM(L25:Q25)</x:f>
        <x:v>4</x:v>
      </x:c>
    </x:row>
    <x:row r="27">
      <x:c r="A27" s="1"/>
      <x:c r="L27" s="2"/>
      <x:c r="Q27" s="10"/>
      <x:c r="R27" s="10"/>
    </x:row>
    <x:row r="28">
      <x:c r="A28" s="57" t="s">
        <x:v>27</x:v>
      </x:c>
      <x:c r="L28" s="20"/>
      <x:c r="M28" s="15"/>
      <x:c r="N28" s="15"/>
      <x:c r="O28" s="15"/>
      <x:c r="P28" s="15"/>
      <x:c r="Q28" s="16"/>
      <x:c r="R28" s="10"/>
    </x:row>
    <x:row r="29" ht="28.799999237060547">
      <x:c r="A29" s="28">
        <x:v>43490</x:v>
      </x:c>
      <x:c r="B29" s="29">
        <x:v>1</x:v>
      </x:c>
      <x:c r="C29" s="29">
        <x:v>1</x:v>
      </x:c>
      <x:c r="D29" s="29">
        <x:v>1</x:v>
      </x:c>
      <x:c r="E29" s="29">
        <x:v>1</x:v>
      </x:c>
      <x:c r="F29" s="29"/>
      <x:c r="G29" s="29">
        <x:v>1</x:v>
      </x:c>
      <x:c r="H29" s="29" t="s">
        <x:v>28</x:v>
      </x:c>
      <x:c r="I29" s="30">
        <x:v>3</x:v>
      </x:c>
      <x:c r="J29" s="29" t="s">
        <x:v>29</x:v>
      </x:c>
      <x:c r="K29" s="31" t="s">
        <x:v>30</x:v>
      </x:c>
      <x:c r="L29" s="21" t="n">
        <x:f t="shared" ref="L29" si="6">B29*$I29</x:f>
        <x:v>3</x:v>
      </x:c>
      <x:c r="M29" s="22" t="n">
        <x:f t="shared" ref="M29" si="7">C29*$I29</x:f>
        <x:v>3</x:v>
      </x:c>
      <x:c r="N29" s="22" t="n">
        <x:f t="shared" ref="N29" si="8">D29*$I29</x:f>
        <x:v>3</x:v>
      </x:c>
      <x:c r="O29" s="22" t="n">
        <x:f t="shared" ref="O29" si="9">E29*$I29</x:f>
        <x:v>3</x:v>
      </x:c>
      <x:c r="P29" s="22">
        <x:v>2</x:v>
      </x:c>
      <x:c r="Q29" s="23" t="n">
        <x:f>G29*$I29</x:f>
        <x:v>3</x:v>
      </x:c>
      <x:c r="R29" s="10"/>
    </x:row>
    <x:row r="30">
      <x:c r="A30" s="28"/>
      <x:c r="B30" s="29"/>
      <x:c r="C30" s="29"/>
      <x:c r="D30" s="29"/>
      <x:c r="E30" s="29"/>
      <x:c r="F30" s="29"/>
      <x:c r="G30" s="29"/>
      <x:c r="H30" s="29"/>
      <x:c r="I30" s="30"/>
      <x:c r="J30" s="29"/>
      <x:c r="K30" s="31"/>
      <x:c r="L30" s="17"/>
      <x:c r="M30" s="17"/>
      <x:c r="N30" s="17"/>
      <x:c r="O30" s="17"/>
      <x:c r="P30" s="17"/>
      <x:c r="Q30" s="18"/>
      <x:c r="R30" s="10"/>
    </x:row>
    <x:row r="31">
      <x:c r="A31" s="1"/>
      <x:c r="H31" s="17"/>
      <x:c r="K31" s="45" t="s">
        <x:v>21</x:v>
      </x:c>
      <x:c r="L31" s="46" t="n">
        <x:f>SUM(L29:L30)</x:f>
        <x:v>3</x:v>
      </x:c>
      <x:c r="M31" s="46" t="n">
        <x:f t="shared" ref="M31" si="10">SUM(M29:M30)</x:f>
        <x:v>3</x:v>
      </x:c>
      <x:c r="N31" s="46" t="n">
        <x:f t="shared" ref="N31" si="11">SUM(N29:N30)</x:f>
        <x:v>3</x:v>
      </x:c>
      <x:c r="O31" s="46" t="n">
        <x:f t="shared" ref="O31:P31" si="12">SUM(O29:O30)</x:f>
        <x:v>3</x:v>
      </x:c>
      <x:c r="P31" s="46">
        <x:f t="shared" si="12"/>
        <x:v>2</x:v>
      </x:c>
      <x:c r="Q31" s="47" t="n">
        <x:f t="shared" ref="Q31" si="13">SUM(Q29:Q30)</x:f>
        <x:v>3</x:v>
      </x:c>
      <x:c r="R31" s="47"/>
    </x:row>
    <x:row r="32">
      <x:c r="A32" s="1"/>
      <x:c r="K32" s="48" t="s">
        <x:v>22</x:v>
      </x:c>
      <x:c r="L32" s="55"/>
      <x:c r="M32" s="46"/>
      <x:c r="N32" s="46"/>
      <x:c r="O32" s="46"/>
      <x:c r="P32" s="46"/>
      <x:c r="Q32" s="47"/>
      <x:c r="R32" s="47" t="n">
        <x:f>SUM(L31:Q31)</x:f>
        <x:v>17</x:v>
      </x:c>
    </x:row>
    <x:row r="33">
      <x:c r="A33" s="1"/>
      <x:c r="K33" s="17"/>
      <x:c r="L33" s="2"/>
      <x:c r="Q33" s="10"/>
      <x:c r="R33" s="10"/>
    </x:row>
    <x:row r="34">
      <x:c r="A34" s="57" t="s">
        <x:v>31</x:v>
      </x:c>
      <x:c r="L34" s="20"/>
      <x:c r="M34" s="15"/>
      <x:c r="N34" s="15"/>
      <x:c r="O34" s="15"/>
      <x:c r="P34" s="15"/>
      <x:c r="Q34" s="16"/>
      <x:c r="R34" s="10"/>
    </x:row>
    <x:row r="35" ht="43.20000076293945">
      <x:c r="A35" s="28">
        <x:v>43490</x:v>
      </x:c>
      <x:c r="B35" s="29"/>
      <x:c r="C35" s="29">
        <x:v>1</x:v>
      </x:c>
      <x:c r="D35" s="29"/>
      <x:c r="E35" s="29"/>
      <x:c r="F35" s="29"/>
      <x:c r="G35" s="29"/>
      <x:c r="H35" s="29" t="s">
        <x:v>32</x:v>
      </x:c>
      <x:c r="I35" s="30">
        <x:v>5</x:v>
      </x:c>
      <x:c r="J35" s="29" t="s">
        <x:v>33</x:v>
      </x:c>
      <x:c r="K35" s="31" t="s">
        <x:v>34</x:v>
      </x:c>
      <x:c r="L35" s="21" t="n">
        <x:f t="shared" ref="L35" si="14">B35*$I35</x:f>
        <x:v>0</x:v>
      </x:c>
      <x:c r="M35" s="22" t="n">
        <x:f t="shared" ref="M35" si="15">C35*$I35</x:f>
        <x:v>5</x:v>
      </x:c>
      <x:c r="N35" s="22" t="n">
        <x:f t="shared" ref="N35" si="16">D35*$I35</x:f>
        <x:v>0</x:v>
      </x:c>
      <x:c r="O35" s="22" t="n">
        <x:f t="shared" ref="O35" si="17">E35*$I35</x:f>
        <x:v>0</x:v>
      </x:c>
      <x:c r="P35" s="22">
        <x:v>1</x:v>
      </x:c>
      <x:c r="Q35" s="23" t="n">
        <x:f>G35*$I35</x:f>
        <x:v>0</x:v>
      </x:c>
      <x:c r="R35" s="10"/>
    </x:row>
    <x:row r="36">
      <x:c r="A36" s="28"/>
      <x:c r="B36" s="29"/>
      <x:c r="C36" s="29"/>
      <x:c r="D36" s="29"/>
      <x:c r="E36" s="29"/>
      <x:c r="F36" s="29"/>
      <x:c r="G36" s="29"/>
      <x:c r="H36" s="29"/>
      <x:c r="I36" s="30"/>
      <x:c r="J36" s="29"/>
      <x:c r="K36" s="31"/>
      <x:c r="L36" s="17"/>
      <x:c r="M36" s="17"/>
      <x:c r="N36" s="17"/>
      <x:c r="O36" s="17"/>
      <x:c r="P36" s="17"/>
      <x:c r="Q36" s="18"/>
      <x:c r="R36" s="10"/>
    </x:row>
    <x:row r="37">
      <x:c r="A37" s="1"/>
      <x:c r="H37" s="17"/>
      <x:c r="K37" s="45" t="s">
        <x:v>21</x:v>
      </x:c>
      <x:c r="L37" s="46" t="n">
        <x:f>SUM(L35:L36)</x:f>
        <x:v>0</x:v>
      </x:c>
      <x:c r="M37" s="46" t="n">
        <x:f t="shared" ref="M37" si="18">SUM(M35:M36)</x:f>
        <x:v>5</x:v>
      </x:c>
      <x:c r="N37" s="46" t="n">
        <x:f t="shared" ref="N37" si="19">SUM(N35:N36)</x:f>
        <x:v>0</x:v>
      </x:c>
      <x:c r="O37" s="46" t="n">
        <x:f t="shared" ref="O37:P37" si="20">SUM(O35:O36)</x:f>
        <x:v>0</x:v>
      </x:c>
      <x:c r="P37" s="46">
        <x:f t="shared" si="20"/>
        <x:v>1</x:v>
      </x:c>
      <x:c r="Q37" s="47" t="n">
        <x:f t="shared" ref="Q37" si="21">SUM(Q35:Q36)</x:f>
        <x:v>0</x:v>
      </x:c>
      <x:c r="R37" s="47"/>
    </x:row>
    <x:row r="38">
      <x:c r="A38" s="1"/>
      <x:c r="K38" s="46" t="s">
        <x:v>35</x:v>
      </x:c>
      <x:c r="L38" s="54"/>
      <x:c r="M38" s="46"/>
      <x:c r="N38" s="46"/>
      <x:c r="O38" s="46"/>
      <x:c r="P38" s="46"/>
      <x:c r="Q38" s="47"/>
      <x:c r="R38" s="47" t="n">
        <x:f>SUM(L37:Q37)</x:f>
        <x:v>6</x:v>
      </x:c>
    </x:row>
    <x:row r="39">
      <x:c r="A39" s="57" t="s">
        <x:v>36</x:v>
      </x:c>
      <x:c r="L39" s="20"/>
      <x:c r="M39" s="15"/>
      <x:c r="N39" s="15"/>
      <x:c r="O39" s="15"/>
      <x:c r="P39" s="15"/>
      <x:c r="Q39" s="16"/>
      <x:c r="R39" s="10"/>
    </x:row>
    <x:row r="40" ht="57.599998474121094">
      <x:c r="A40" s="28">
        <x:v>43490</x:v>
      </x:c>
      <x:c r="B40" s="29">
        <x:v>1</x:v>
      </x:c>
      <x:c r="C40" s="29">
        <x:v>1</x:v>
      </x:c>
      <x:c r="D40" s="29">
        <x:v>1</x:v>
      </x:c>
      <x:c r="E40" s="29">
        <x:v>1</x:v>
      </x:c>
      <x:c r="F40" s="29"/>
      <x:c r="G40" s="29">
        <x:v>1</x:v>
      </x:c>
      <x:c r="H40" s="29" t="s">
        <x:v>37</x:v>
      </x:c>
      <x:c r="I40" s="30">
        <x:v>2</x:v>
      </x:c>
      <x:c r="J40" s="29" t="s">
        <x:v>38</x:v>
      </x:c>
      <x:c r="K40" s="31" t="s">
        <x:v>39</x:v>
      </x:c>
      <x:c r="L40" s="21" t="n">
        <x:f t="shared" ref="L40" si="22">B40*$I40</x:f>
        <x:v>2</x:v>
      </x:c>
      <x:c r="M40" s="22" t="n">
        <x:f t="shared" ref="M40" si="23">C40*$I40</x:f>
        <x:v>2</x:v>
      </x:c>
      <x:c r="N40" s="22" t="n">
        <x:f t="shared" ref="N40" si="24">D40*$I40</x:f>
        <x:v>2</x:v>
      </x:c>
      <x:c r="O40" s="22" t="n">
        <x:f t="shared" ref="O40" si="25">E40*$I40</x:f>
        <x:v>2</x:v>
      </x:c>
      <x:c r="P40" s="22">
        <x:v>2</x:v>
      </x:c>
      <x:c r="Q40" s="23" t="n">
        <x:f>G40*$I40</x:f>
        <x:v>2</x:v>
      </x:c>
      <x:c r="R40" s="10"/>
    </x:row>
    <x:row r="41">
      <x:c r="A41" s="28"/>
      <x:c r="B41" s="29"/>
      <x:c r="C41" s="29"/>
      <x:c r="D41" s="29"/>
      <x:c r="E41" s="29"/>
      <x:c r="F41" s="29"/>
      <x:c r="G41" s="29"/>
      <x:c r="H41" s="29"/>
      <x:c r="I41" s="30"/>
      <x:c r="J41" s="29"/>
      <x:c r="K41" s="31"/>
      <x:c r="L41" s="17"/>
      <x:c r="M41" s="17"/>
      <x:c r="N41" s="17"/>
      <x:c r="O41" s="17"/>
      <x:c r="P41" s="17"/>
      <x:c r="Q41" s="18"/>
      <x:c r="R41" s="10"/>
    </x:row>
    <x:row r="42">
      <x:c r="A42" s="1"/>
      <x:c r="H42" s="17"/>
      <x:c r="K42" s="45" t="s">
        <x:v>21</x:v>
      </x:c>
      <x:c r="L42" s="46" t="n">
        <x:f>SUM(L40:L41)</x:f>
        <x:v>2</x:v>
      </x:c>
      <x:c r="M42" s="46" t="n">
        <x:f t="shared" ref="M42" si="26">SUM(M40:M41)</x:f>
        <x:v>2</x:v>
      </x:c>
      <x:c r="N42" s="46" t="n">
        <x:f t="shared" ref="N42" si="27">SUM(N40:N41)</x:f>
        <x:v>2</x:v>
      </x:c>
      <x:c r="O42" s="46" t="n">
        <x:f t="shared" ref="O42:P42" si="28">SUM(O40:O41)</x:f>
        <x:v>2</x:v>
      </x:c>
      <x:c r="P42" s="46">
        <x:f t="shared" si="28"/>
        <x:v>2</x:v>
      </x:c>
      <x:c r="Q42" s="47" t="n">
        <x:f t="shared" ref="Q42" si="29">SUM(Q40:Q41)</x:f>
        <x:v>2</x:v>
      </x:c>
      <x:c r="R42" s="47"/>
    </x:row>
    <x:row r="43">
      <x:c r="A43" s="1"/>
      <x:c r="K43" s="46" t="s">
        <x:v>40</x:v>
      </x:c>
      <x:c r="L43" s="55"/>
      <x:c r="M43" s="46"/>
      <x:c r="N43" s="46"/>
      <x:c r="O43" s="46"/>
      <x:c r="P43" s="46"/>
      <x:c r="Q43" s="47"/>
      <x:c r="R43" s="47" t="n">
        <x:f>SUM(L42:Q42)</x:f>
        <x:v>12</x:v>
      </x:c>
    </x:row>
    <x:row r="44">
      <x:c r="A44" s="1"/>
      <x:c r="L44" s="1"/>
      <x:c r="Q44" s="10"/>
      <x:c r="R44" s="10"/>
    </x:row>
    <x:row r="45" ht="28.799999237060547">
      <x:c r="A45" s="1"/>
      <x:c r="K45" s="50" t="s">
        <x:v>41</x:v>
      </x:c>
      <x:c r="L45" s="55" t="n">
        <x:f>L20+L25+L31+L37+L42</x:f>
        <x:v>13</x:v>
      </x:c>
      <x:c r="M45" s="46" t="n">
        <x:f t="shared" ref="M45:Q45" si="30">M20+M25+M31+M37+M42</x:f>
        <x:v>15</x:v>
      </x:c>
      <x:c r="N45" s="46">
        <x:f t="shared" si="30"/>
        <x:v>10</x:v>
      </x:c>
      <x:c r="O45" s="46">
        <x:f t="shared" si="30"/>
        <x:v>10</x:v>
      </x:c>
      <x:c r="P45" s="46">
        <x:f t="shared" si="30"/>
        <x:v>11</x:v>
      </x:c>
      <x:c r="Q45" s="47">
        <x:f t="shared" si="30"/>
        <x:v>10</x:v>
      </x:c>
      <x:c r="R45" s="47"/>
    </x:row>
    <x:row r="46" ht="28.799999237060547">
      <x:c r="A46" s="2"/>
      <x:c r="B46" s="3"/>
      <x:c r="C46" s="3"/>
      <x:c r="D46" s="3"/>
      <x:c r="E46" s="3"/>
      <x:c r="F46" s="3"/>
      <x:c r="G46" s="3"/>
      <x:c r="H46" s="3"/>
      <x:c r="I46" s="3"/>
      <x:c r="J46" s="3"/>
      <x:c r="K46" s="53" t="s">
        <x:v>42</x:v>
      </x:c>
      <x:c r="L46" s="54"/>
      <x:c r="M46" s="51"/>
      <x:c r="N46" s="51"/>
      <x:c r="O46" s="51"/>
      <x:c r="P46" s="51"/>
      <x:c r="Q46" s="52"/>
      <x:c r="R46" s="52" t="n">
        <x:f>SUM(L45:Q45)</x:f>
        <x:v>69</x:v>
      </x:c>
    </x:row>
  </x:sheetData>
  <x:mergeCells>
    <x:mergeCell ref="L15:Q15"/>
    <x:mergeCell ref="S3:S11"/>
    <x:mergeCell ref="H3:J3"/>
    <x:mergeCell ref="B15:G15"/>
    <x:mergeCell ref="A15:A16"/>
    <x:mergeCell ref="H15:H16"/>
    <x:mergeCell ref="I15:I16"/>
    <x:mergeCell ref="J15:J16"/>
    <x:mergeCell ref="K15:K16"/>
    <x:mergeCell ref="K3:K5"/>
  </x:mergeCells>
  <x:pageMargins left="0.7" right="0.7" top="0.75" bottom="0.75" header="0.3" footer="0.3"/>
</x:worksheet>
</file>